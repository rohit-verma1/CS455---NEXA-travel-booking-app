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</sheets>
  <definedNames/>
  <calcPr/>
</workbook>
</file>

<file path=xl/sharedStrings.xml><?xml version="1.0" encoding="utf-8"?>
<sst xmlns="http://schemas.openxmlformats.org/spreadsheetml/2006/main" count="113" uniqueCount="63">
  <si>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</si>
  <si>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</si>
  <si>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</si>
  <si>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</si>
  <si>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 xml:space="preserve">NEXA  The Travel Booking Platform </t>
  </si>
  <si>
    <t>COMPANY NAME</t>
  </si>
  <si>
    <t>Arcade Nation</t>
  </si>
  <si>
    <t>PROJECT MANAGER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</si>
  <si>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</si>
  <si>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</si>
  <si>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</si>
  <si>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</si>
  <si>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</si>
  <si>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</si>
  <si>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</si>
  <si>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</si>
  <si>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</si>
  <si>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</si>
  <si>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</si>
  <si>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</si>
  <si>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</si>
  <si>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</si>
  <si>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</si>
  <si>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</si>
  <si>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</si>
  <si>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</si>
  <si>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</si>
  <si>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</si>
  <si>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</si>
  <si>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</si>
  <si>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</si>
  <si>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</si>
  <si>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R</t>
  </si>
  <si>
    <t>F</t>
  </si>
  <si>
    <t>Project Planning</t>
  </si>
  <si>
    <t>Requirements Design</t>
  </si>
  <si>
    <t>Likith</t>
  </si>
  <si>
    <t>1.1.1</t>
  </si>
  <si>
    <t xml:space="preserve">System Design </t>
  </si>
  <si>
    <t>Rohit</t>
  </si>
  <si>
    <t>Technology Stack Identification</t>
  </si>
  <si>
    <t xml:space="preserve">Aman </t>
  </si>
  <si>
    <t>Documentation</t>
  </si>
  <si>
    <t>Karthik</t>
  </si>
  <si>
    <t>Resource Identification</t>
  </si>
  <si>
    <t>Hosting Backend</t>
  </si>
  <si>
    <t>Hosting Front End</t>
  </si>
  <si>
    <t>LLM calls and Stack Discovery</t>
  </si>
  <si>
    <t>Project Code Implementation</t>
  </si>
  <si>
    <t>FrontEnd UI/UX</t>
  </si>
  <si>
    <t>Backend Auth and Utilities Logic</t>
  </si>
  <si>
    <t>3.2.1</t>
  </si>
  <si>
    <t xml:space="preserve">Core Utilities Implementation Backend </t>
  </si>
  <si>
    <t>3.2.2</t>
  </si>
  <si>
    <t>Auth Support</t>
  </si>
  <si>
    <t>Rithwin</t>
  </si>
  <si>
    <t>Admin UI Integration</t>
  </si>
  <si>
    <t>Ritesh</t>
  </si>
  <si>
    <t>Testing and Improvements</t>
  </si>
  <si>
    <t>Core Functionalities</t>
  </si>
  <si>
    <t>Auth and Utilities</t>
  </si>
  <si>
    <t xml:space="preserve">UI Integration </t>
  </si>
  <si>
    <t>UI Integration Debugging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</si>
</sst>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45818E"/>
        <bgColor rgb="FF45818E"/>
      </patternFill>
    </fill>
    <fill>
      <patternFill patternType="solid">
        <fgColor rgb="FF783F04"/>
        <bgColor rgb="FF783F04"/>
      </patternFill>
    </fill>
    <fill>
      <patternFill patternType="solid">
        <fgColor rgb="FF833C0C"/>
        <bgColor rgb="FF833C0C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73C79E"/>
        <bgColor rgb="FF73C79E"/>
      </patternFill>
    </fill>
    <fill>
      <patternFill patternType="solid">
        <fgColor rgb="FFF6B26B"/>
        <bgColor rgb="FFF6B26B"/>
      </patternFill>
    </fill>
  </fills>
  <borders count="14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0" fillId="5" fontId="22" numFmtId="0" xfId="0" applyAlignment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0" fillId="7" fontId="22" numFmtId="0" xfId="0" applyAlignment="1" applyFill="1" applyFont="1">
      <alignment horizontal="center" readingOrder="0" shrinkToFit="0" vertical="center" wrapText="0"/>
    </xf>
    <xf borderId="3" fillId="8" fontId="22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4" fillId="9" fontId="22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4" fillId="5" fontId="22" numFmtId="0" xfId="0" applyAlignment="1" applyBorder="1" applyFont="1">
      <alignment horizontal="center" readingOrder="0" shrinkToFit="0" vertical="center" wrapText="0"/>
    </xf>
    <xf borderId="4" fillId="10" fontId="22" numFmtId="0" xfId="0" applyAlignment="1" applyBorder="1" applyFill="1" applyFont="1">
      <alignment horizontal="center" readingOrder="0" shrinkToFit="0" vertical="center" wrapText="0"/>
    </xf>
    <xf borderId="4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7" fillId="12" fontId="25" numFmtId="0" xfId="0" applyAlignment="1" applyBorder="1" applyFill="1" applyFont="1">
      <alignment horizontal="center" readingOrder="0" shrinkToFit="0" vertical="center" wrapText="0"/>
    </xf>
    <xf borderId="7" fillId="5" fontId="25" numFmtId="0" xfId="0" applyAlignment="1" applyBorder="1" applyFont="1">
      <alignment horizontal="center" readingOrder="0" shrinkToFit="0" vertical="center" wrapText="0"/>
    </xf>
    <xf borderId="7" fillId="13" fontId="25" numFmtId="0" xfId="0" applyAlignment="1" applyBorder="1" applyFill="1" applyFont="1">
      <alignment horizontal="center" readingOrder="0" shrinkToFit="0" vertical="center" wrapText="0"/>
    </xf>
    <xf borderId="7" fillId="14" fontId="25" numFmtId="0" xfId="0" applyAlignment="1" applyBorder="1" applyFill="1" applyFont="1">
      <alignment horizontal="center" readingOrder="0" shrinkToFit="0" vertical="center" wrapText="0"/>
    </xf>
    <xf borderId="8" fillId="15" fontId="26" numFmtId="0" xfId="0" applyAlignment="1" applyBorder="1" applyFill="1" applyFont="1">
      <alignment horizontal="left" readingOrder="0" shrinkToFit="0" vertical="center" wrapText="1"/>
    </xf>
    <xf borderId="8" fillId="15" fontId="26" numFmtId="0" xfId="0" applyAlignment="1" applyBorder="1" applyFont="1">
      <alignment readingOrder="0" shrinkToFit="0" vertical="center" wrapText="0"/>
    </xf>
    <xf borderId="8" fillId="15" fontId="26" numFmtId="0" xfId="0" applyAlignment="1" applyBorder="1" applyFont="1">
      <alignment readingOrder="0" shrinkToFit="0" vertical="center" wrapText="1"/>
    </xf>
    <xf borderId="0" fillId="15" fontId="26" numFmtId="0" xfId="0" applyAlignment="1" applyFont="1">
      <alignment horizontal="center" shrinkToFit="0" vertical="center" wrapText="0"/>
    </xf>
    <xf borderId="0" fillId="15" fontId="26" numFmtId="165" xfId="0" applyAlignment="1" applyFont="1" applyNumberFormat="1">
      <alignment horizontal="center" shrinkToFit="0" vertical="center" wrapText="0"/>
    </xf>
    <xf borderId="0" fillId="15" fontId="26" numFmtId="3" xfId="0" applyAlignment="1" applyFont="1" applyNumberFormat="1">
      <alignment horizontal="center" shrinkToFit="0" vertical="center" wrapText="0"/>
    </xf>
    <xf borderId="0" fillId="15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9" fillId="0" fontId="28" numFmtId="0" xfId="0" applyAlignment="1" applyBorder="1" applyFont="1">
      <alignment horizontal="left" readingOrder="0" shrinkToFit="0" vertical="center" wrapText="1"/>
    </xf>
    <xf borderId="9" fillId="0" fontId="28" numFmtId="0" xfId="0" applyAlignment="1" applyBorder="1" applyFont="1">
      <alignment readingOrder="0" shrinkToFit="0" vertical="center" wrapText="1"/>
    </xf>
    <xf borderId="9" fillId="0" fontId="28" numFmtId="164" xfId="0" applyAlignment="1" applyBorder="1" applyFont="1" applyNumberFormat="1">
      <alignment horizontal="left" readingOrder="0" shrinkToFit="0" vertical="center" wrapText="1"/>
    </xf>
    <xf borderId="9" fillId="0" fontId="28" numFmtId="0" xfId="0" applyAlignment="1" applyBorder="1" applyFont="1">
      <alignment horizontal="center" readingOrder="0" shrinkToFit="0" vertical="center" wrapText="1"/>
    </xf>
    <xf borderId="9" fillId="0" fontId="28" numFmtId="9" xfId="0" applyAlignment="1" applyBorder="1" applyFont="1" applyNumberFormat="1">
      <alignment horizontal="center" readingOrder="0" shrinkToFit="0" vertical="center" wrapText="1"/>
    </xf>
    <xf borderId="10" fillId="0" fontId="29" numFmtId="9" xfId="0" applyAlignment="1" applyBorder="1" applyFont="1" applyNumberFormat="1">
      <alignment horizontal="center" shrinkToFit="0" vertical="center" wrapText="0"/>
    </xf>
    <xf borderId="11" fillId="0" fontId="29" numFmtId="165" xfId="0" applyAlignment="1" applyBorder="1" applyFont="1" applyNumberForma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16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17" fontId="29" numFmtId="0" xfId="0" applyAlignment="1" applyBorder="1" applyFill="1" applyFont="1">
      <alignment horizontal="center" shrinkToFit="0" vertical="center" wrapText="0"/>
    </xf>
    <xf borderId="11" fillId="18" fontId="29" numFmtId="0" xfId="0" applyAlignment="1" applyBorder="1" applyFill="1" applyFont="1">
      <alignment horizontal="center" shrinkToFit="0" vertical="center" wrapText="0"/>
    </xf>
    <xf borderId="13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ont="1">
      <alignment horizontal="center" shrinkToFit="0" vertical="center" wrapText="0"/>
    </xf>
    <xf borderId="9" fillId="19" fontId="28" numFmtId="9" xfId="0" applyAlignment="1" applyBorder="1" applyFill="1" applyFont="1" applyNumberFormat="1">
      <alignment horizontal="center" readingOrder="0" shrinkToFit="0" vertical="center" wrapText="1"/>
    </xf>
    <xf borderId="12" fillId="20" fontId="29" numFmtId="0" xfId="0" applyAlignment="1" applyBorder="1" applyFill="1" applyFont="1">
      <alignment horizontal="center" shrinkToFit="0" vertical="center" wrapText="0"/>
    </xf>
    <xf borderId="11" fillId="13" fontId="2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/>
      <c r="E5" s="22"/>
      <c r="F5" s="22"/>
      <c r="G5" s="22"/>
      <c r="H5" s="28"/>
      <c r="I5" s="21" t="s">
        <v>8</v>
      </c>
      <c r="J5" s="22"/>
      <c r="K5" s="22"/>
      <c r="L5" s="22"/>
      <c r="M5" s="22"/>
      <c r="N5" s="22"/>
      <c r="O5" s="22"/>
      <c r="P5" s="29">
        <v>45974.0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9</v>
      </c>
      <c r="C8" s="36" t="s">
        <v>10</v>
      </c>
      <c r="D8" s="36" t="s">
        <v>11</v>
      </c>
      <c r="E8" s="36" t="s">
        <v>12</v>
      </c>
      <c r="F8" s="36" t="s">
        <v>13</v>
      </c>
      <c r="G8" s="36" t="s">
        <v>14</v>
      </c>
      <c r="H8" s="36" t="s">
        <v>15</v>
      </c>
      <c r="I8" s="37" t="s">
        <v>16</v>
      </c>
      <c r="N8" s="38" t="s">
        <v>17</v>
      </c>
      <c r="X8" s="39" t="s">
        <v>18</v>
      </c>
      <c r="AH8" s="40"/>
      <c r="AI8" s="40"/>
      <c r="AJ8" s="41" t="s">
        <v>19</v>
      </c>
      <c r="BB8" s="32"/>
    </row>
    <row r="9" ht="17.25" customHeight="1">
      <c r="A9" s="42"/>
      <c r="I9" s="43" t="s">
        <v>20</v>
      </c>
      <c r="J9" s="44"/>
      <c r="K9" s="44"/>
      <c r="L9" s="44"/>
      <c r="M9" s="45"/>
      <c r="N9" s="46" t="s">
        <v>21</v>
      </c>
      <c r="O9" s="44"/>
      <c r="P9" s="44"/>
      <c r="Q9" s="44"/>
      <c r="R9" s="45"/>
      <c r="S9" s="46" t="s">
        <v>22</v>
      </c>
      <c r="T9" s="44"/>
      <c r="U9" s="44"/>
      <c r="V9" s="44"/>
      <c r="W9" s="45"/>
      <c r="X9" s="47" t="s">
        <v>23</v>
      </c>
      <c r="Y9" s="44"/>
      <c r="Z9" s="44"/>
      <c r="AA9" s="44"/>
      <c r="AB9" s="45"/>
      <c r="AC9" s="47" t="s">
        <v>24</v>
      </c>
      <c r="AD9" s="44"/>
      <c r="AE9" s="44"/>
      <c r="AF9" s="44"/>
      <c r="AG9" s="45"/>
      <c r="AH9" s="46" t="s">
        <v>25</v>
      </c>
      <c r="AI9" s="44"/>
      <c r="AJ9" s="44"/>
      <c r="AK9" s="44"/>
      <c r="AL9" s="45"/>
      <c r="AM9" s="48" t="s">
        <v>26</v>
      </c>
      <c r="AN9" s="44"/>
      <c r="AO9" s="44"/>
      <c r="AP9" s="44"/>
      <c r="AQ9" s="45"/>
      <c r="AR9" s="48" t="s">
        <v>27</v>
      </c>
      <c r="AS9" s="44"/>
      <c r="AT9" s="44"/>
      <c r="AU9" s="44"/>
      <c r="AV9" s="45"/>
      <c r="AW9" s="48" t="s">
        <v>28</v>
      </c>
      <c r="AX9" s="44"/>
      <c r="AY9" s="44"/>
      <c r="AZ9" s="44"/>
      <c r="BA9" s="45"/>
      <c r="BB9" s="42"/>
    </row>
    <row r="10" ht="17.25" customHeight="1">
      <c r="A10" s="49"/>
      <c r="I10" s="50" t="s">
        <v>29</v>
      </c>
      <c r="J10" s="50" t="s">
        <v>30</v>
      </c>
      <c r="K10" s="50" t="s">
        <v>31</v>
      </c>
      <c r="L10" s="50" t="s">
        <v>32</v>
      </c>
      <c r="M10" s="50" t="s">
        <v>33</v>
      </c>
      <c r="N10" s="51" t="s">
        <v>29</v>
      </c>
      <c r="O10" s="51" t="s">
        <v>30</v>
      </c>
      <c r="P10" s="51" t="s">
        <v>31</v>
      </c>
      <c r="Q10" s="51" t="s">
        <v>32</v>
      </c>
      <c r="R10" s="51" t="s">
        <v>33</v>
      </c>
      <c r="S10" s="51" t="s">
        <v>29</v>
      </c>
      <c r="T10" s="51" t="s">
        <v>30</v>
      </c>
      <c r="U10" s="51" t="s">
        <v>31</v>
      </c>
      <c r="V10" s="51" t="s">
        <v>32</v>
      </c>
      <c r="W10" s="51" t="s">
        <v>33</v>
      </c>
      <c r="X10" s="52" t="s">
        <v>29</v>
      </c>
      <c r="Y10" s="52" t="s">
        <v>30</v>
      </c>
      <c r="Z10" s="52" t="s">
        <v>31</v>
      </c>
      <c r="AA10" s="52" t="s">
        <v>32</v>
      </c>
      <c r="AB10" s="52" t="s">
        <v>33</v>
      </c>
      <c r="AC10" s="52" t="s">
        <v>29</v>
      </c>
      <c r="AD10" s="52" t="s">
        <v>30</v>
      </c>
      <c r="AE10" s="52" t="s">
        <v>31</v>
      </c>
      <c r="AF10" s="52" t="s">
        <v>32</v>
      </c>
      <c r="AG10" s="52" t="s">
        <v>33</v>
      </c>
      <c r="AH10" s="53" t="s">
        <v>29</v>
      </c>
      <c r="AI10" s="53" t="s">
        <v>30</v>
      </c>
      <c r="AJ10" s="53" t="s">
        <v>31</v>
      </c>
      <c r="AK10" s="53" t="s">
        <v>32</v>
      </c>
      <c r="AL10" s="53" t="s">
        <v>33</v>
      </c>
      <c r="AM10" s="53" t="s">
        <v>29</v>
      </c>
      <c r="AN10" s="53" t="s">
        <v>30</v>
      </c>
      <c r="AO10" s="53" t="s">
        <v>31</v>
      </c>
      <c r="AP10" s="53" t="s">
        <v>32</v>
      </c>
      <c r="AQ10" s="53" t="s">
        <v>33</v>
      </c>
      <c r="AR10" s="53" t="s">
        <v>29</v>
      </c>
      <c r="AS10" s="53" t="s">
        <v>30</v>
      </c>
      <c r="AT10" s="53" t="s">
        <v>31</v>
      </c>
      <c r="AU10" s="53" t="s">
        <v>32</v>
      </c>
      <c r="AV10" s="53" t="s">
        <v>33</v>
      </c>
      <c r="AW10" s="53" t="s">
        <v>29</v>
      </c>
      <c r="AX10" s="53" t="s">
        <v>30</v>
      </c>
      <c r="AY10" s="53" t="s">
        <v>31</v>
      </c>
      <c r="AZ10" s="53" t="s">
        <v>32</v>
      </c>
      <c r="BA10" s="53" t="s">
        <v>33</v>
      </c>
      <c r="BB10" s="49"/>
    </row>
    <row r="11" ht="21.0" customHeight="1">
      <c r="A11" s="32"/>
      <c r="B11" s="54">
        <v>1.0</v>
      </c>
      <c r="C11" s="55" t="s">
        <v>34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32"/>
    </row>
    <row r="12" ht="17.25" customHeight="1" outlineLevel="1">
      <c r="A12" s="61"/>
      <c r="B12" s="62">
        <v>1.1</v>
      </c>
      <c r="C12" s="63" t="s">
        <v>35</v>
      </c>
      <c r="D12" s="63" t="s">
        <v>36</v>
      </c>
      <c r="E12" s="64">
        <v>45913.0</v>
      </c>
      <c r="F12" s="64">
        <v>45918.0</v>
      </c>
      <c r="G12" s="65">
        <f t="shared" ref="G12:G15" si="1">DAYS360(E12,F12)</f>
        <v>5</v>
      </c>
      <c r="H12" s="66">
        <v>1.0</v>
      </c>
      <c r="I12" s="67"/>
      <c r="J12" s="68"/>
      <c r="K12" s="69"/>
      <c r="L12" s="69"/>
      <c r="M12" s="70"/>
      <c r="N12" s="71"/>
      <c r="O12" s="71"/>
      <c r="P12" s="71"/>
      <c r="Q12" s="71"/>
      <c r="R12" s="72"/>
      <c r="S12" s="72"/>
      <c r="T12" s="72"/>
      <c r="U12" s="72"/>
      <c r="V12" s="72"/>
      <c r="W12" s="72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61"/>
    </row>
    <row r="13" ht="17.25" customHeight="1" outlineLevel="1">
      <c r="A13" s="61"/>
      <c r="B13" s="62" t="s">
        <v>37</v>
      </c>
      <c r="C13" s="63" t="s">
        <v>38</v>
      </c>
      <c r="D13" s="63" t="s">
        <v>39</v>
      </c>
      <c r="E13" s="64">
        <v>45913.0</v>
      </c>
      <c r="F13" s="64">
        <v>45918.0</v>
      </c>
      <c r="G13" s="65">
        <f t="shared" si="1"/>
        <v>5</v>
      </c>
      <c r="H13" s="66">
        <v>1.0</v>
      </c>
      <c r="I13" s="76"/>
      <c r="J13" s="77"/>
      <c r="K13" s="72"/>
      <c r="L13" s="72"/>
      <c r="M13" s="71"/>
      <c r="N13" s="71"/>
      <c r="O13" s="71"/>
      <c r="P13" s="71"/>
      <c r="Q13" s="71"/>
      <c r="R13" s="72"/>
      <c r="S13" s="72"/>
      <c r="T13" s="72"/>
      <c r="U13" s="72"/>
      <c r="V13" s="72"/>
      <c r="W13" s="72"/>
      <c r="X13" s="71"/>
      <c r="Y13" s="71"/>
      <c r="Z13" s="71"/>
      <c r="AA13" s="71"/>
      <c r="AB13" s="71"/>
      <c r="AC13" s="78"/>
      <c r="AD13" s="78"/>
      <c r="AE13" s="78"/>
      <c r="AF13" s="78"/>
      <c r="AG13" s="78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9"/>
      <c r="AS13" s="79"/>
      <c r="AT13" s="79"/>
      <c r="AU13" s="79"/>
      <c r="AV13" s="79"/>
      <c r="AW13" s="71"/>
      <c r="AX13" s="71"/>
      <c r="AY13" s="71"/>
      <c r="AZ13" s="71"/>
      <c r="BA13" s="71"/>
      <c r="BB13" s="61"/>
    </row>
    <row r="14" ht="17.25" customHeight="1" outlineLevel="1">
      <c r="A14" s="61"/>
      <c r="B14" s="62">
        <v>1.2</v>
      </c>
      <c r="C14" s="63" t="s">
        <v>40</v>
      </c>
      <c r="D14" s="63" t="s">
        <v>41</v>
      </c>
      <c r="E14" s="64">
        <v>45913.0</v>
      </c>
      <c r="F14" s="64">
        <v>45918.0</v>
      </c>
      <c r="G14" s="65">
        <f t="shared" si="1"/>
        <v>5</v>
      </c>
      <c r="H14" s="66">
        <v>0.9</v>
      </c>
      <c r="I14" s="76"/>
      <c r="J14" s="77"/>
      <c r="K14" s="72"/>
      <c r="L14" s="72"/>
      <c r="M14" s="71"/>
      <c r="N14" s="71"/>
      <c r="O14" s="71"/>
      <c r="P14" s="71"/>
      <c r="Q14" s="71"/>
      <c r="R14" s="72"/>
      <c r="S14" s="72"/>
      <c r="T14" s="72"/>
      <c r="U14" s="72"/>
      <c r="V14" s="72"/>
      <c r="W14" s="72"/>
      <c r="X14" s="71"/>
      <c r="Y14" s="71"/>
      <c r="Z14" s="71"/>
      <c r="AA14" s="71"/>
      <c r="AB14" s="71"/>
      <c r="AC14" s="78"/>
      <c r="AD14" s="78"/>
      <c r="AE14" s="78"/>
      <c r="AF14" s="78"/>
      <c r="AG14" s="78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9"/>
      <c r="AS14" s="79"/>
      <c r="AT14" s="79"/>
      <c r="AU14" s="79"/>
      <c r="AV14" s="79"/>
      <c r="AW14" s="71"/>
      <c r="AX14" s="71"/>
      <c r="AY14" s="71"/>
      <c r="AZ14" s="71"/>
      <c r="BA14" s="71"/>
      <c r="BB14" s="61"/>
    </row>
    <row r="15" ht="17.25" customHeight="1" outlineLevel="1">
      <c r="A15" s="61"/>
      <c r="B15" s="62">
        <v>1.3</v>
      </c>
      <c r="C15" s="63" t="s">
        <v>42</v>
      </c>
      <c r="D15" s="63" t="s">
        <v>43</v>
      </c>
      <c r="E15" s="64">
        <v>45913.0</v>
      </c>
      <c r="F15" s="64">
        <v>45918.0</v>
      </c>
      <c r="G15" s="65">
        <f t="shared" si="1"/>
        <v>5</v>
      </c>
      <c r="H15" s="80">
        <v>1.0</v>
      </c>
      <c r="I15" s="76"/>
      <c r="J15" s="77"/>
      <c r="K15" s="72"/>
      <c r="L15" s="72"/>
      <c r="M15" s="70"/>
      <c r="N15" s="71"/>
      <c r="O15" s="71"/>
      <c r="P15" s="71"/>
      <c r="Q15" s="71"/>
      <c r="R15" s="72"/>
      <c r="S15" s="72"/>
      <c r="T15" s="72"/>
      <c r="U15" s="72"/>
      <c r="V15" s="72"/>
      <c r="W15" s="72"/>
      <c r="X15" s="71"/>
      <c r="Y15" s="71"/>
      <c r="Z15" s="71"/>
      <c r="AA15" s="71"/>
      <c r="AB15" s="71"/>
      <c r="AC15" s="78"/>
      <c r="AD15" s="78"/>
      <c r="AE15" s="78"/>
      <c r="AF15" s="78"/>
      <c r="AG15" s="78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9"/>
      <c r="AS15" s="79"/>
      <c r="AT15" s="79"/>
      <c r="AU15" s="79"/>
      <c r="AV15" s="79"/>
      <c r="AW15" s="71"/>
      <c r="AX15" s="71"/>
      <c r="AY15" s="71"/>
      <c r="AZ15" s="71"/>
      <c r="BA15" s="71"/>
      <c r="BB15" s="61"/>
    </row>
    <row r="16" ht="21.0" customHeight="1">
      <c r="A16" s="32"/>
      <c r="B16" s="54">
        <v>2.0</v>
      </c>
      <c r="C16" s="55" t="s">
        <v>44</v>
      </c>
      <c r="D16" s="56"/>
      <c r="E16" s="56"/>
      <c r="F16" s="56"/>
      <c r="G16" s="56"/>
      <c r="H16" s="56"/>
      <c r="I16" s="57"/>
      <c r="J16" s="58"/>
      <c r="K16" s="59"/>
      <c r="L16" s="59"/>
      <c r="M16" s="60"/>
      <c r="N16" s="57"/>
      <c r="O16" s="60"/>
      <c r="P16" s="57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32"/>
    </row>
    <row r="17" ht="17.25" customHeight="1" outlineLevel="1">
      <c r="A17" s="61"/>
      <c r="B17" s="62">
        <v>2.1</v>
      </c>
      <c r="C17" s="63" t="s">
        <v>45</v>
      </c>
      <c r="D17" s="63" t="s">
        <v>36</v>
      </c>
      <c r="E17" s="64">
        <v>45918.0</v>
      </c>
      <c r="F17" s="64">
        <v>45930.0</v>
      </c>
      <c r="G17" s="65">
        <f t="shared" ref="G17:G19" si="2">DAYS360(E17,F17)</f>
        <v>12</v>
      </c>
      <c r="H17" s="66">
        <v>1.0</v>
      </c>
      <c r="I17" s="67"/>
      <c r="J17" s="68"/>
      <c r="K17" s="69"/>
      <c r="L17" s="69"/>
      <c r="M17" s="69"/>
      <c r="N17" s="81"/>
      <c r="O17" s="72"/>
      <c r="P17" s="72"/>
      <c r="Q17" s="72"/>
      <c r="R17" s="71"/>
      <c r="S17" s="71"/>
      <c r="T17" s="71"/>
      <c r="U17" s="71"/>
      <c r="V17" s="71"/>
      <c r="W17" s="71"/>
      <c r="X17" s="82"/>
      <c r="Y17" s="82"/>
      <c r="Z17" s="82"/>
      <c r="AA17" s="82"/>
      <c r="AB17" s="73"/>
      <c r="AC17" s="74"/>
      <c r="AD17" s="74"/>
      <c r="AE17" s="74"/>
      <c r="AF17" s="74"/>
      <c r="AG17" s="74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5"/>
      <c r="AS17" s="75"/>
      <c r="AT17" s="75"/>
      <c r="AU17" s="75"/>
      <c r="AV17" s="75"/>
      <c r="AW17" s="73"/>
      <c r="AX17" s="73"/>
      <c r="AY17" s="73"/>
      <c r="AZ17" s="73"/>
      <c r="BA17" s="73"/>
      <c r="BB17" s="61"/>
    </row>
    <row r="18" ht="17.25" customHeight="1" outlineLevel="1">
      <c r="A18" s="61"/>
      <c r="B18" s="62">
        <v>2.2</v>
      </c>
      <c r="C18" s="63" t="s">
        <v>46</v>
      </c>
      <c r="D18" s="63" t="s">
        <v>43</v>
      </c>
      <c r="E18" s="64">
        <v>45918.0</v>
      </c>
      <c r="F18" s="64">
        <v>45930.0</v>
      </c>
      <c r="G18" s="65">
        <f t="shared" si="2"/>
        <v>12</v>
      </c>
      <c r="H18" s="66">
        <v>1.0</v>
      </c>
      <c r="I18" s="76"/>
      <c r="J18" s="77"/>
      <c r="K18" s="72"/>
      <c r="L18" s="72"/>
      <c r="M18" s="71"/>
      <c r="N18" s="81"/>
      <c r="O18" s="81"/>
      <c r="P18" s="72"/>
      <c r="Q18" s="72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82"/>
      <c r="AC18" s="82"/>
      <c r="AD18" s="82"/>
      <c r="AE18" s="82"/>
      <c r="AF18" s="82"/>
      <c r="AG18" s="82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9"/>
      <c r="AS18" s="79"/>
      <c r="AT18" s="79"/>
      <c r="AU18" s="79"/>
      <c r="AV18" s="79"/>
      <c r="AW18" s="71"/>
      <c r="AX18" s="71"/>
      <c r="AY18" s="71"/>
      <c r="AZ18" s="71"/>
      <c r="BA18" s="71"/>
      <c r="BB18" s="61"/>
    </row>
    <row r="19" ht="17.25" customHeight="1" outlineLevel="1">
      <c r="A19" s="61"/>
      <c r="B19" s="62">
        <v>2.3</v>
      </c>
      <c r="C19" s="63" t="s">
        <v>47</v>
      </c>
      <c r="D19" s="63" t="s">
        <v>39</v>
      </c>
      <c r="E19" s="64">
        <v>45918.0</v>
      </c>
      <c r="F19" s="64">
        <v>45930.0</v>
      </c>
      <c r="G19" s="65">
        <f t="shared" si="2"/>
        <v>12</v>
      </c>
      <c r="H19" s="66">
        <v>1.0</v>
      </c>
      <c r="I19" s="76"/>
      <c r="J19" s="77"/>
      <c r="K19" s="72"/>
      <c r="L19" s="72"/>
      <c r="M19" s="71"/>
      <c r="N19" s="72"/>
      <c r="O19" s="81"/>
      <c r="P19" s="81"/>
      <c r="Q19" s="72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8"/>
      <c r="AD19" s="78"/>
      <c r="AE19" s="78"/>
      <c r="AF19" s="78"/>
      <c r="AG19" s="78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9"/>
      <c r="AS19" s="79"/>
      <c r="AT19" s="79"/>
      <c r="AU19" s="79"/>
      <c r="AV19" s="79"/>
      <c r="AW19" s="71"/>
      <c r="AX19" s="71"/>
      <c r="AY19" s="71"/>
      <c r="AZ19" s="71"/>
      <c r="BA19" s="71"/>
      <c r="BB19" s="61"/>
    </row>
    <row r="20" ht="21.0" customHeight="1">
      <c r="A20" s="32"/>
      <c r="B20" s="54">
        <v>3.0</v>
      </c>
      <c r="C20" s="55" t="s">
        <v>48</v>
      </c>
      <c r="D20" s="56"/>
      <c r="E20" s="56"/>
      <c r="F20" s="56"/>
      <c r="G20" s="56"/>
      <c r="H20" s="56"/>
      <c r="I20" s="57"/>
      <c r="J20" s="58"/>
      <c r="K20" s="59"/>
      <c r="L20" s="59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32"/>
    </row>
    <row r="21" ht="17.25" customHeight="1" outlineLevel="1">
      <c r="A21" s="61"/>
      <c r="B21" s="62">
        <v>3.1</v>
      </c>
      <c r="C21" s="63" t="s">
        <v>49</v>
      </c>
      <c r="D21" s="63" t="s">
        <v>43</v>
      </c>
      <c r="E21" s="64">
        <v>45930.0</v>
      </c>
      <c r="F21" s="64">
        <v>45942.0</v>
      </c>
      <c r="G21" s="65">
        <f t="shared" ref="G21:G25" si="3">DAYS360(E21,F21)</f>
        <v>12</v>
      </c>
      <c r="H21" s="66">
        <v>1.0</v>
      </c>
      <c r="I21" s="67"/>
      <c r="J21" s="68"/>
      <c r="K21" s="69"/>
      <c r="L21" s="69"/>
      <c r="M21" s="69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3"/>
      <c r="Y21" s="73"/>
      <c r="Z21" s="73"/>
      <c r="AA21" s="73"/>
      <c r="AB21" s="73"/>
      <c r="AC21" s="74"/>
      <c r="AD21" s="74"/>
      <c r="AE21" s="74"/>
      <c r="AF21" s="74"/>
      <c r="AG21" s="74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5"/>
      <c r="AS21" s="75"/>
      <c r="AT21" s="75"/>
      <c r="AU21" s="75"/>
      <c r="AV21" s="75"/>
      <c r="AW21" s="73"/>
      <c r="AX21" s="73"/>
      <c r="AY21" s="73"/>
      <c r="AZ21" s="73"/>
      <c r="BA21" s="73"/>
      <c r="BB21" s="61"/>
    </row>
    <row r="22" ht="17.25" customHeight="1" outlineLevel="1">
      <c r="A22" s="61"/>
      <c r="B22" s="62">
        <v>3.2</v>
      </c>
      <c r="C22" s="63" t="s">
        <v>50</v>
      </c>
      <c r="D22" s="63" t="s">
        <v>36</v>
      </c>
      <c r="E22" s="64">
        <v>45930.0</v>
      </c>
      <c r="F22" s="64">
        <v>45942.0</v>
      </c>
      <c r="G22" s="65">
        <f t="shared" si="3"/>
        <v>12</v>
      </c>
      <c r="H22" s="66">
        <v>0.8</v>
      </c>
      <c r="I22" s="76"/>
      <c r="J22" s="77"/>
      <c r="K22" s="72"/>
      <c r="L22" s="72"/>
      <c r="M22" s="71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1"/>
      <c r="Y22" s="71"/>
      <c r="Z22" s="71"/>
      <c r="AA22" s="71"/>
      <c r="AB22" s="71"/>
      <c r="AC22" s="78"/>
      <c r="AD22" s="78"/>
      <c r="AE22" s="78"/>
      <c r="AF22" s="78"/>
      <c r="AG22" s="78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9"/>
      <c r="AS22" s="79"/>
      <c r="AT22" s="79"/>
      <c r="AU22" s="79"/>
      <c r="AV22" s="79"/>
      <c r="AW22" s="71"/>
      <c r="AX22" s="71"/>
      <c r="AY22" s="71"/>
      <c r="AZ22" s="71"/>
      <c r="BA22" s="71"/>
      <c r="BB22" s="61"/>
    </row>
    <row r="23" ht="17.25" customHeight="1" outlineLevel="1">
      <c r="A23" s="61"/>
      <c r="B23" s="62" t="s">
        <v>51</v>
      </c>
      <c r="C23" s="63" t="s">
        <v>52</v>
      </c>
      <c r="D23" s="63" t="s">
        <v>39</v>
      </c>
      <c r="E23" s="64">
        <v>45930.0</v>
      </c>
      <c r="F23" s="64">
        <v>45942.0</v>
      </c>
      <c r="G23" s="65">
        <f t="shared" si="3"/>
        <v>12</v>
      </c>
      <c r="H23" s="66">
        <v>0.8</v>
      </c>
      <c r="I23" s="76"/>
      <c r="J23" s="77"/>
      <c r="K23" s="72"/>
      <c r="L23" s="72"/>
      <c r="M23" s="71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1"/>
      <c r="Y23" s="71"/>
      <c r="Z23" s="71"/>
      <c r="AA23" s="71"/>
      <c r="AB23" s="71"/>
      <c r="AC23" s="78"/>
      <c r="AD23" s="78"/>
      <c r="AE23" s="78"/>
      <c r="AF23" s="78"/>
      <c r="AG23" s="78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9"/>
      <c r="AS23" s="79"/>
      <c r="AT23" s="79"/>
      <c r="AU23" s="79"/>
      <c r="AV23" s="79"/>
      <c r="AW23" s="71"/>
      <c r="AX23" s="71"/>
      <c r="AY23" s="71"/>
      <c r="AZ23" s="71"/>
      <c r="BA23" s="71"/>
      <c r="BB23" s="61"/>
    </row>
    <row r="24" ht="17.25" customHeight="1" outlineLevel="1">
      <c r="A24" s="61"/>
      <c r="B24" s="62" t="s">
        <v>53</v>
      </c>
      <c r="C24" s="63" t="s">
        <v>54</v>
      </c>
      <c r="D24" s="63" t="s">
        <v>55</v>
      </c>
      <c r="E24" s="64">
        <v>45930.0</v>
      </c>
      <c r="F24" s="64">
        <v>45942.0</v>
      </c>
      <c r="G24" s="65">
        <f t="shared" si="3"/>
        <v>12</v>
      </c>
      <c r="H24" s="80">
        <v>0.4</v>
      </c>
      <c r="I24" s="76"/>
      <c r="J24" s="77"/>
      <c r="K24" s="72"/>
      <c r="L24" s="72"/>
      <c r="M24" s="71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1"/>
      <c r="Y24" s="71"/>
      <c r="Z24" s="71"/>
      <c r="AA24" s="71"/>
      <c r="AB24" s="71"/>
      <c r="AC24" s="78"/>
      <c r="AD24" s="78"/>
      <c r="AE24" s="78"/>
      <c r="AF24" s="78"/>
      <c r="AG24" s="78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9"/>
      <c r="AS24" s="79"/>
      <c r="AT24" s="79"/>
      <c r="AU24" s="79"/>
      <c r="AV24" s="79"/>
      <c r="AW24" s="71"/>
      <c r="AX24" s="71"/>
      <c r="AY24" s="71"/>
      <c r="AZ24" s="71"/>
      <c r="BA24" s="71"/>
      <c r="BB24" s="61"/>
    </row>
    <row r="25" ht="17.25" customHeight="1" outlineLevel="1">
      <c r="A25" s="61"/>
      <c r="B25" s="62">
        <v>3.3</v>
      </c>
      <c r="C25" s="63" t="s">
        <v>56</v>
      </c>
      <c r="D25" s="63" t="s">
        <v>57</v>
      </c>
      <c r="E25" s="64">
        <v>45930.0</v>
      </c>
      <c r="F25" s="64">
        <v>45942.0</v>
      </c>
      <c r="G25" s="65">
        <f t="shared" si="3"/>
        <v>12</v>
      </c>
      <c r="H25" s="66">
        <v>0.5</v>
      </c>
      <c r="I25" s="76"/>
      <c r="J25" s="77"/>
      <c r="K25" s="72"/>
      <c r="L25" s="72"/>
      <c r="M25" s="71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1"/>
      <c r="Y25" s="71"/>
      <c r="Z25" s="71"/>
      <c r="AA25" s="71"/>
      <c r="AB25" s="71"/>
      <c r="AC25" s="78"/>
      <c r="AD25" s="78"/>
      <c r="AE25" s="78"/>
      <c r="AF25" s="78"/>
      <c r="AG25" s="78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9"/>
      <c r="AS25" s="79"/>
      <c r="AT25" s="79"/>
      <c r="AU25" s="79"/>
      <c r="AV25" s="79"/>
      <c r="AW25" s="71"/>
      <c r="AX25" s="71"/>
      <c r="AY25" s="71"/>
      <c r="AZ25" s="71"/>
      <c r="BA25" s="71"/>
      <c r="BB25" s="61"/>
    </row>
    <row r="26" ht="21.0" customHeight="1">
      <c r="A26" s="32"/>
      <c r="B26" s="54">
        <v>4.0</v>
      </c>
      <c r="C26" s="55" t="s">
        <v>58</v>
      </c>
      <c r="D26" s="56"/>
      <c r="E26" s="56"/>
      <c r="F26" s="56"/>
      <c r="G26" s="56"/>
      <c r="H26" s="56"/>
      <c r="I26" s="57"/>
      <c r="J26" s="58"/>
      <c r="K26" s="59"/>
      <c r="L26" s="59"/>
      <c r="M26" s="60"/>
      <c r="N26" s="57"/>
      <c r="O26" s="60"/>
      <c r="P26" s="57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32"/>
    </row>
    <row r="27" ht="17.25" customHeight="1" outlineLevel="1">
      <c r="A27" s="61"/>
      <c r="B27" s="62">
        <v>4.1</v>
      </c>
      <c r="C27" s="63" t="s">
        <v>59</v>
      </c>
      <c r="D27" s="63" t="s">
        <v>36</v>
      </c>
      <c r="E27" s="64">
        <v>45942.0</v>
      </c>
      <c r="F27" s="64">
        <v>45973.0</v>
      </c>
      <c r="G27" s="65">
        <f t="shared" ref="G27:G30" si="4">DAYS360(E27,F27)</f>
        <v>30</v>
      </c>
      <c r="H27" s="66">
        <v>0.8</v>
      </c>
      <c r="I27" s="67"/>
      <c r="J27" s="68"/>
      <c r="K27" s="69"/>
      <c r="L27" s="69"/>
      <c r="M27" s="69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3"/>
      <c r="Y27" s="73"/>
      <c r="Z27" s="73"/>
      <c r="AA27" s="73"/>
      <c r="AB27" s="73"/>
      <c r="AC27" s="74"/>
      <c r="AD27" s="74"/>
      <c r="AE27" s="74"/>
      <c r="AF27" s="74"/>
      <c r="AG27" s="74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5"/>
      <c r="AS27" s="75"/>
      <c r="AT27" s="75"/>
      <c r="AU27" s="75"/>
      <c r="AV27" s="75"/>
      <c r="AW27" s="73"/>
      <c r="AX27" s="73"/>
      <c r="AY27" s="73"/>
      <c r="AZ27" s="73"/>
      <c r="BA27" s="73"/>
      <c r="BB27" s="61"/>
    </row>
    <row r="28" ht="17.25" customHeight="1" outlineLevel="1">
      <c r="A28" s="61"/>
      <c r="B28" s="62">
        <v>4.2</v>
      </c>
      <c r="C28" s="63" t="s">
        <v>60</v>
      </c>
      <c r="D28" s="63" t="s">
        <v>39</v>
      </c>
      <c r="E28" s="64">
        <v>45942.0</v>
      </c>
      <c r="F28" s="64">
        <v>45973.0</v>
      </c>
      <c r="G28" s="65">
        <f t="shared" si="4"/>
        <v>30</v>
      </c>
      <c r="H28" s="66">
        <v>0.8</v>
      </c>
      <c r="I28" s="76"/>
      <c r="J28" s="77"/>
      <c r="K28" s="72"/>
      <c r="L28" s="72"/>
      <c r="M28" s="71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1"/>
      <c r="Y28" s="71"/>
      <c r="Z28" s="71"/>
      <c r="AA28" s="71"/>
      <c r="AB28" s="71"/>
      <c r="AC28" s="78"/>
      <c r="AD28" s="78"/>
      <c r="AE28" s="78"/>
      <c r="AF28" s="78"/>
      <c r="AG28" s="78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9"/>
      <c r="AS28" s="79"/>
      <c r="AT28" s="79"/>
      <c r="AU28" s="79"/>
      <c r="AV28" s="79"/>
      <c r="AW28" s="71"/>
      <c r="AX28" s="71"/>
      <c r="AY28" s="71"/>
      <c r="AZ28" s="71"/>
      <c r="BA28" s="71"/>
      <c r="BB28" s="61"/>
    </row>
    <row r="29" ht="17.25" customHeight="1" outlineLevel="1">
      <c r="A29" s="61"/>
      <c r="B29" s="62">
        <v>4.3</v>
      </c>
      <c r="C29" s="63" t="s">
        <v>61</v>
      </c>
      <c r="D29" s="63" t="s">
        <v>43</v>
      </c>
      <c r="E29" s="64">
        <v>45942.0</v>
      </c>
      <c r="F29" s="64">
        <v>45973.0</v>
      </c>
      <c r="G29" s="65">
        <f t="shared" si="4"/>
        <v>30</v>
      </c>
      <c r="H29" s="66">
        <v>0.9</v>
      </c>
      <c r="I29" s="76"/>
      <c r="J29" s="77"/>
      <c r="K29" s="72"/>
      <c r="L29" s="72"/>
      <c r="M29" s="71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1"/>
      <c r="Y29" s="71"/>
      <c r="Z29" s="71"/>
      <c r="AA29" s="71"/>
      <c r="AB29" s="71"/>
      <c r="AC29" s="78"/>
      <c r="AD29" s="78"/>
      <c r="AE29" s="78"/>
      <c r="AF29" s="78"/>
      <c r="AG29" s="78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9"/>
      <c r="AS29" s="79"/>
      <c r="AT29" s="79"/>
      <c r="AU29" s="79"/>
      <c r="AV29" s="79"/>
      <c r="AW29" s="71"/>
      <c r="AX29" s="71"/>
      <c r="AY29" s="71"/>
      <c r="AZ29" s="71"/>
      <c r="BA29" s="71"/>
      <c r="BB29" s="61"/>
    </row>
    <row r="30" ht="17.25" customHeight="1" outlineLevel="1">
      <c r="A30" s="61"/>
      <c r="B30" s="62">
        <v>4.4</v>
      </c>
      <c r="C30" s="63" t="s">
        <v>62</v>
      </c>
      <c r="D30" s="63" t="s">
        <v>36</v>
      </c>
      <c r="E30" s="64">
        <v>45942.0</v>
      </c>
      <c r="F30" s="64">
        <v>45973.0</v>
      </c>
      <c r="G30" s="65">
        <f t="shared" si="4"/>
        <v>30</v>
      </c>
      <c r="H30" s="80">
        <v>0.7</v>
      </c>
      <c r="I30" s="76"/>
      <c r="J30" s="77"/>
      <c r="K30" s="72"/>
      <c r="L30" s="72"/>
      <c r="M30" s="71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1"/>
      <c r="Y30" s="71"/>
      <c r="Z30" s="71"/>
      <c r="AA30" s="71"/>
      <c r="AB30" s="71"/>
      <c r="AC30" s="78"/>
      <c r="AD30" s="78"/>
      <c r="AE30" s="78"/>
      <c r="AF30" s="78"/>
      <c r="AG30" s="78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9"/>
      <c r="AS30" s="79"/>
      <c r="AT30" s="79"/>
      <c r="AU30" s="79"/>
      <c r="AV30" s="79"/>
      <c r="AW30" s="71"/>
      <c r="AX30" s="71"/>
      <c r="AY30" s="71"/>
      <c r="AZ30" s="71"/>
      <c r="BA30" s="71"/>
      <c r="BB30" s="61"/>
    </row>
    <row r="31" ht="21.0" customHeight="1">
      <c r="A31" s="32"/>
      <c r="B31" s="32"/>
      <c r="C31" s="32"/>
      <c r="D31" s="32"/>
      <c r="E31" s="32"/>
      <c r="F31" s="32"/>
      <c r="G31" s="83"/>
      <c r="H31" s="83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</row>
    <row r="32" ht="21.0" customHeight="1">
      <c r="A32" s="32"/>
      <c r="B32" s="32"/>
      <c r="C32" s="32"/>
      <c r="D32" s="32"/>
      <c r="E32" s="32"/>
      <c r="F32" s="32"/>
      <c r="G32" s="83"/>
      <c r="H32" s="83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</row>
    <row r="33" ht="21.0" customHeight="1">
      <c r="A33" s="32"/>
      <c r="B33" s="32"/>
      <c r="C33" s="32"/>
      <c r="D33" s="32"/>
      <c r="E33" s="32"/>
      <c r="F33" s="32"/>
      <c r="G33" s="83"/>
      <c r="H33" s="83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</row>
  </sheetData>
  <mergeCells count="31">
    <mergeCell ref="I2:N2"/>
    <mergeCell ref="B2:G2"/>
    <mergeCell ref="I5:O5"/>
    <mergeCell ref="P5:AA5"/>
    <mergeCell ref="O2:AE2"/>
    <mergeCell ref="I4:O4"/>
    <mergeCell ref="P4:AB4"/>
    <mergeCell ref="D4:G4"/>
    <mergeCell ref="B4:C4"/>
    <mergeCell ref="X9:AB9"/>
    <mergeCell ref="AH9:AL9"/>
    <mergeCell ref="AC9:AG9"/>
    <mergeCell ref="AR9:AV9"/>
    <mergeCell ref="AW9:BA9"/>
    <mergeCell ref="AM9:AQ9"/>
    <mergeCell ref="AJ8:BA8"/>
    <mergeCell ref="G8:G10"/>
    <mergeCell ref="F8:F10"/>
    <mergeCell ref="D8:D10"/>
    <mergeCell ref="E8:E10"/>
    <mergeCell ref="S9:W9"/>
    <mergeCell ref="N9:R9"/>
    <mergeCell ref="I9:M9"/>
    <mergeCell ref="C8:C10"/>
    <mergeCell ref="H8:H10"/>
    <mergeCell ref="B8:B10"/>
    <mergeCell ref="I8:M8"/>
    <mergeCell ref="N8:W8"/>
    <mergeCell ref="D5:G5"/>
    <mergeCell ref="B5:C5"/>
    <mergeCell ref="X8:AG8"/>
  </mergeCells>
  <conditionalFormatting sqref="H12:H15 H17:H30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5 H17:H30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